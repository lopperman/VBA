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20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paulbrower/projects/ToShare/PivotTable/"/>
    </mc:Choice>
  </mc:AlternateContent>
  <xr:revisionPtr revIDLastSave="0" documentId="13_ncr:1_{69162288-E245-854B-8187-DEDDD915C712}" xr6:coauthVersionLast="47" xr6:coauthVersionMax="47" xr10:uidLastSave="{00000000-0000-0000-0000-000000000000}"/>
  <bookViews>
    <workbookView xWindow="-32300" yWindow="2840" windowWidth="27640" windowHeight="16940" xr2:uid="{339B276D-7A06-7D47-AC41-29E1052C6020}"/>
  </bookViews>
  <sheets>
    <sheet name="PivotDemo" sheetId="1" r:id="rId1"/>
    <sheet name="TempPivot" sheetId="2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12" i="1" l="1"/>
  <c r="H14" i="1"/>
  <c r="H17" i="1"/>
  <c r="H22" i="1"/>
  <c r="H28" i="1"/>
  <c r="H29" i="1"/>
  <c r="H30" i="1"/>
  <c r="H31" i="1"/>
  <c r="H32" i="1"/>
  <c r="H19" i="1"/>
  <c r="H20" i="1"/>
  <c r="H13" i="1"/>
  <c r="H16" i="1"/>
  <c r="H21" i="1"/>
  <c r="H15" i="1"/>
  <c r="H18" i="1"/>
  <c r="H23" i="1"/>
  <c r="H24" i="1"/>
  <c r="H25" i="1"/>
  <c r="H26" i="1"/>
  <c r="H27" i="1"/>
  <c r="H11" i="1"/>
</calcChain>
</file>

<file path=xl/sharedStrings.xml><?xml version="1.0" encoding="utf-8"?>
<sst xmlns="http://schemas.openxmlformats.org/spreadsheetml/2006/main" count="75" uniqueCount="16">
  <si>
    <t>Project</t>
  </si>
  <si>
    <t>ProjDesc</t>
  </si>
  <si>
    <t>Employee</t>
  </si>
  <si>
    <t>Role</t>
  </si>
  <si>
    <t>ItemDate</t>
  </si>
  <si>
    <t>BillRate</t>
  </si>
  <si>
    <t>Hours</t>
  </si>
  <si>
    <t>TotRev</t>
  </si>
  <si>
    <t>Test Proj 1</t>
  </si>
  <si>
    <t>Paul</t>
  </si>
  <si>
    <t>VBA Guy</t>
  </si>
  <si>
    <t>"tblProject" Table</t>
  </si>
  <si>
    <t>Emily</t>
  </si>
  <si>
    <t>Jason</t>
  </si>
  <si>
    <t>Scientist</t>
  </si>
  <si>
    <t>DBA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</si>
</sst>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8" tint="-0.24994659260841701"/>
      <name val="Calibri (Body)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4">
    <xf numFmtId="0" fontId="0" fillId="0" borderId="0" xfId="0"/>
    <xf numFmtId="14" fontId="0" fillId="0" borderId="0" xfId="0" applyNumberFormat="1"/>
    <xf numFmtId="44" fontId="0" fillId="0" borderId="0" xfId="1" applyFont="1"/>
    <xf numFmtId="2" fontId="0" fillId="0" borderId="0" xfId="0" applyNumberFormat="1"/>
  </cellXfs>
  <cellStyles count="2">
    <cellStyle name="Currency" xfId="1" builtinId="4"/>
    <cellStyle name="Normal" xfId="0" builtinId="0"/>
  </cellStyles>
  <dxfs count="2">
    <dxf>
      <numFmt numFmtId="2" formatCode="0.00"/>
    </dxf>
    <dxf>
      <numFmt numFmtId="19" formatCode="m/d/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4</xdr:row>
          <xdr:rowOff>165100</xdr:rowOff>
        </xdr:from>
        <xdr:to>
          <xdr:col>7</xdr:col>
          <xdr:colOff>469900</xdr:colOff>
          <xdr:row>6</xdr:row>
          <xdr:rowOff>139700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725C2262-5D19-424E-C022-B8304614A9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2F75B5"/>
                  </a:solidFill>
                  <a:latin typeface="Calibri" charset="0"/>
                  <a:cs typeface="Calibri" charset="0"/>
                </a:rPr>
                <a:t>Build Pivot Table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23BE093-D92B-8E49-9FE4-C861BE7F0668}" name="tblProject" displayName="tblProject" ref="A10:H32" totalsRowShown="0">
  <autoFilter ref="A10:H32" xr:uid="{423BE093-D92B-8E49-9FE4-C861BE7F0668}"/>
  <sortState xmlns:xlrd2="http://schemas.microsoft.com/office/spreadsheetml/2017/richdata2" ref="A11:H32">
    <sortCondition ref="E10:E32"/>
  </sortState>
  <tableColumns count="8">
    <tableColumn id="1" xr3:uid="{90D117BE-29B4-0544-B854-51C7CB42CF0C}" name="Project"/>
    <tableColumn id="2" xr3:uid="{B7D1B6E5-9FFE-F84C-84AE-78ABC94F8B62}" name="ProjDesc"/>
    <tableColumn id="3" xr3:uid="{AA53EC9B-E954-814A-B3F9-92683B1C303B}" name="Employee"/>
    <tableColumn id="4" xr3:uid="{B545299F-D7F6-A342-B0FF-4DEC5ED0D9EA}" name="Role"/>
    <tableColumn id="5" xr3:uid="{8E474A6A-43D3-2042-9A09-D87E8A02ECA9}" name="ItemDate" dataDxfId="1"/>
    <tableColumn id="6" xr3:uid="{E6EF3170-CF39-A84D-ACC1-0D5209CABBAB}" name="BillRate" dataCellStyle="Currency"/>
    <tableColumn id="7" xr3:uid="{0623E0A3-DBEA-314A-A4B8-C8C478569AF4}" name="Hours" dataDxfId="0"/>
    <tableColumn id="8" xr3:uid="{6020EB2D-F61E-D24B-9C6B-4BC1A05E9FAB}" name="TotRev" dataCellStyle="Currency">
      <calculatedColumnFormula>tblProject[[#This Row],[Hours]]*tblProject[[#This Row],[BillRate]]</calculatedColumnFormula>
    </tableColumn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02A68E-3B6B-2B4E-9B30-D579DD5BDE68}">
  <sheetPr codeName="wsDemoData">
    <tabColor theme="9" tint="0.39997558519241921"/>
  </sheetPr>
  <dimension ref="A8:H32"/>
  <sheetViews>
    <sheetView showGridLines="0" tabSelected="1" topLeftCell="A2" workbookViewId="0">
      <selection activeCell="J13" sqref="J13"/>
    </sheetView>
  </sheetViews>
  <sheetFormatPr baseColWidth="10" defaultRowHeight="16" x14ac:dyDescent="0.2"/>
  <cols>
    <col min="3" max="3" width="11.6640625" customWidth="1"/>
    <col min="5" max="5" width="11.33203125" customWidth="1"/>
  </cols>
  <sheetData>
    <row r="8" spans="1:8" x14ac:dyDescent="0.2">
      <c r="A8" t="s">
        <v>11</v>
      </c>
    </row>
    <row r="10" spans="1:8" x14ac:dyDescent="0.2">
      <c r="A10" t="s">
        <v>0</v>
      </c>
      <c r="B10" t="s">
        <v>1</v>
      </c>
      <c r="C10" t="s">
        <v>2</v>
      </c>
      <c r="D10" t="s">
        <v>3</v>
      </c>
      <c r="E10" t="s">
        <v>4</v>
      </c>
      <c r="F10" t="s">
        <v>5</v>
      </c>
      <c r="G10" t="s">
        <v>6</v>
      </c>
      <c r="H10" t="s">
        <v>7</v>
      </c>
    </row>
    <row r="11" spans="1:8" x14ac:dyDescent="0.2">
      <c r="A11">
        <v>1010</v>
      </c>
      <c r="B11" t="s">
        <v>8</v>
      </c>
      <c r="C11" t="s">
        <v>9</v>
      </c>
      <c r="D11" t="s">
        <v>10</v>
      </c>
      <c r="E11" s="1">
        <v>44652</v>
      </c>
      <c r="F11" s="2">
        <v>200</v>
      </c>
      <c r="G11" s="3">
        <v>5.5</v>
      </c>
      <c r="H11" s="2">
        <f>tblProject[[#This Row],[Hours]]*tblProject[[#This Row],[BillRate]]</f>
        <v>1100</v>
      </c>
    </row>
    <row r="12" spans="1:8" x14ac:dyDescent="0.2">
      <c r="A12">
        <v>1015</v>
      </c>
      <c r="B12" t="s">
        <v>8</v>
      </c>
      <c r="C12" t="s">
        <v>9</v>
      </c>
      <c r="D12" t="s">
        <v>10</v>
      </c>
      <c r="E12" s="1">
        <v>44652</v>
      </c>
      <c r="F12" s="2">
        <v>200</v>
      </c>
      <c r="G12" s="3">
        <v>5.5</v>
      </c>
      <c r="H12" s="2">
        <f>tblProject[[#This Row],[Hours]]*tblProject[[#This Row],[BillRate]]</f>
        <v>1100</v>
      </c>
    </row>
    <row r="13" spans="1:8" x14ac:dyDescent="0.2">
      <c r="A13">
        <v>1010</v>
      </c>
      <c r="B13" t="s">
        <v>8</v>
      </c>
      <c r="C13" t="s">
        <v>9</v>
      </c>
      <c r="D13" t="s">
        <v>10</v>
      </c>
      <c r="E13" s="1">
        <v>44653</v>
      </c>
      <c r="F13" s="2">
        <v>200</v>
      </c>
      <c r="G13" s="3">
        <v>6</v>
      </c>
      <c r="H13" s="2">
        <f>tblProject[[#This Row],[Hours]]*tblProject[[#This Row],[BillRate]]</f>
        <v>1200</v>
      </c>
    </row>
    <row r="14" spans="1:8" x14ac:dyDescent="0.2">
      <c r="A14">
        <v>1015</v>
      </c>
      <c r="B14" t="s">
        <v>8</v>
      </c>
      <c r="C14" t="s">
        <v>9</v>
      </c>
      <c r="D14" t="s">
        <v>10</v>
      </c>
      <c r="E14" s="1">
        <v>44653</v>
      </c>
      <c r="F14" s="2">
        <v>200</v>
      </c>
      <c r="G14" s="3">
        <v>6</v>
      </c>
      <c r="H14" s="2">
        <f>tblProject[[#This Row],[Hours]]*tblProject[[#This Row],[BillRate]]</f>
        <v>1200</v>
      </c>
    </row>
    <row r="15" spans="1:8" x14ac:dyDescent="0.2">
      <c r="A15">
        <v>1010</v>
      </c>
      <c r="B15" t="s">
        <v>8</v>
      </c>
      <c r="C15" t="s">
        <v>12</v>
      </c>
      <c r="D15" t="s">
        <v>14</v>
      </c>
      <c r="E15" s="1">
        <v>44655</v>
      </c>
      <c r="F15" s="2">
        <v>185</v>
      </c>
      <c r="G15" s="3">
        <v>11</v>
      </c>
      <c r="H15" s="2">
        <f>tblProject[[#This Row],[Hours]]*tblProject[[#This Row],[BillRate]]</f>
        <v>2035</v>
      </c>
    </row>
    <row r="16" spans="1:8" x14ac:dyDescent="0.2">
      <c r="A16">
        <v>1010</v>
      </c>
      <c r="B16" t="s">
        <v>8</v>
      </c>
      <c r="C16" t="s">
        <v>9</v>
      </c>
      <c r="D16" t="s">
        <v>10</v>
      </c>
      <c r="E16" s="1">
        <v>44656</v>
      </c>
      <c r="F16" s="2">
        <v>200</v>
      </c>
      <c r="G16" s="3">
        <v>5</v>
      </c>
      <c r="H16" s="2">
        <f>tblProject[[#This Row],[Hours]]*tblProject[[#This Row],[BillRate]]</f>
        <v>1000</v>
      </c>
    </row>
    <row r="17" spans="1:8" x14ac:dyDescent="0.2">
      <c r="A17">
        <v>1015</v>
      </c>
      <c r="B17" t="s">
        <v>8</v>
      </c>
      <c r="C17" t="s">
        <v>9</v>
      </c>
      <c r="D17" t="s">
        <v>10</v>
      </c>
      <c r="E17" s="1">
        <v>44656</v>
      </c>
      <c r="F17" s="2">
        <v>200</v>
      </c>
      <c r="G17" s="3">
        <v>5</v>
      </c>
      <c r="H17" s="2">
        <f>tblProject[[#This Row],[Hours]]*tblProject[[#This Row],[BillRate]]</f>
        <v>1000</v>
      </c>
    </row>
    <row r="18" spans="1:8" x14ac:dyDescent="0.2">
      <c r="A18">
        <v>1010</v>
      </c>
      <c r="B18" t="s">
        <v>8</v>
      </c>
      <c r="C18" t="s">
        <v>12</v>
      </c>
      <c r="D18" t="s">
        <v>14</v>
      </c>
      <c r="E18" s="1">
        <v>44659</v>
      </c>
      <c r="F18" s="2">
        <v>185</v>
      </c>
      <c r="G18" s="3">
        <v>4</v>
      </c>
      <c r="H18" s="2">
        <f>tblProject[[#This Row],[Hours]]*tblProject[[#This Row],[BillRate]]</f>
        <v>740</v>
      </c>
    </row>
    <row r="19" spans="1:8" x14ac:dyDescent="0.2">
      <c r="A19">
        <v>1015</v>
      </c>
      <c r="B19" t="s">
        <v>8</v>
      </c>
      <c r="C19" t="s">
        <v>13</v>
      </c>
      <c r="D19" t="s">
        <v>15</v>
      </c>
      <c r="E19" s="1">
        <v>44670</v>
      </c>
      <c r="F19" s="2">
        <v>215</v>
      </c>
      <c r="G19" s="3">
        <v>11</v>
      </c>
      <c r="H19" s="2">
        <f>tblProject[[#This Row],[Hours]]*tblProject[[#This Row],[BillRate]]</f>
        <v>2365</v>
      </c>
    </row>
    <row r="20" spans="1:8" x14ac:dyDescent="0.2">
      <c r="A20">
        <v>1015</v>
      </c>
      <c r="B20" t="s">
        <v>8</v>
      </c>
      <c r="C20" t="s">
        <v>13</v>
      </c>
      <c r="D20" t="s">
        <v>15</v>
      </c>
      <c r="E20" s="1">
        <v>44671</v>
      </c>
      <c r="F20" s="2">
        <v>215</v>
      </c>
      <c r="G20" s="3">
        <v>3</v>
      </c>
      <c r="H20" s="2">
        <f>tblProject[[#This Row],[Hours]]*tblProject[[#This Row],[BillRate]]</f>
        <v>645</v>
      </c>
    </row>
    <row r="21" spans="1:8" x14ac:dyDescent="0.2">
      <c r="A21">
        <v>1010</v>
      </c>
      <c r="B21" t="s">
        <v>8</v>
      </c>
      <c r="C21" t="s">
        <v>9</v>
      </c>
      <c r="D21" t="s">
        <v>10</v>
      </c>
      <c r="E21" s="1">
        <v>44682</v>
      </c>
      <c r="F21" s="2">
        <v>200</v>
      </c>
      <c r="G21" s="3">
        <v>9</v>
      </c>
      <c r="H21" s="2">
        <f>tblProject[[#This Row],[Hours]]*tblProject[[#This Row],[BillRate]]</f>
        <v>1800</v>
      </c>
    </row>
    <row r="22" spans="1:8" x14ac:dyDescent="0.2">
      <c r="A22">
        <v>1015</v>
      </c>
      <c r="B22" t="s">
        <v>8</v>
      </c>
      <c r="C22" t="s">
        <v>9</v>
      </c>
      <c r="D22" t="s">
        <v>10</v>
      </c>
      <c r="E22" s="1">
        <v>44682</v>
      </c>
      <c r="F22" s="2">
        <v>200</v>
      </c>
      <c r="G22" s="3">
        <v>9</v>
      </c>
      <c r="H22" s="2">
        <f>tblProject[[#This Row],[Hours]]*tblProject[[#This Row],[BillRate]]</f>
        <v>1800</v>
      </c>
    </row>
    <row r="23" spans="1:8" x14ac:dyDescent="0.2">
      <c r="A23">
        <v>1010</v>
      </c>
      <c r="B23" t="s">
        <v>8</v>
      </c>
      <c r="C23" t="s">
        <v>13</v>
      </c>
      <c r="D23" t="s">
        <v>15</v>
      </c>
      <c r="E23" s="1">
        <v>44684</v>
      </c>
      <c r="F23" s="2">
        <v>215</v>
      </c>
      <c r="G23" s="3">
        <v>6</v>
      </c>
      <c r="H23" s="2">
        <f>tblProject[[#This Row],[Hours]]*tblProject[[#This Row],[BillRate]]</f>
        <v>1290</v>
      </c>
    </row>
    <row r="24" spans="1:8" x14ac:dyDescent="0.2">
      <c r="A24">
        <v>1010</v>
      </c>
      <c r="B24" t="s">
        <v>8</v>
      </c>
      <c r="C24" t="s">
        <v>13</v>
      </c>
      <c r="D24" t="s">
        <v>15</v>
      </c>
      <c r="E24" s="1">
        <v>44686</v>
      </c>
      <c r="F24" s="2">
        <v>215</v>
      </c>
      <c r="G24" s="3">
        <v>7</v>
      </c>
      <c r="H24" s="2">
        <f>tblProject[[#This Row],[Hours]]*tblProject[[#This Row],[BillRate]]</f>
        <v>1505</v>
      </c>
    </row>
    <row r="25" spans="1:8" x14ac:dyDescent="0.2">
      <c r="A25">
        <v>1010</v>
      </c>
      <c r="B25" t="s">
        <v>8</v>
      </c>
      <c r="C25" t="s">
        <v>13</v>
      </c>
      <c r="D25" t="s">
        <v>15</v>
      </c>
      <c r="E25" s="1">
        <v>44687</v>
      </c>
      <c r="F25" s="2">
        <v>215</v>
      </c>
      <c r="G25" s="3">
        <v>5.5</v>
      </c>
      <c r="H25" s="2">
        <f>tblProject[[#This Row],[Hours]]*tblProject[[#This Row],[BillRate]]</f>
        <v>1182.5</v>
      </c>
    </row>
    <row r="26" spans="1:8" x14ac:dyDescent="0.2">
      <c r="A26">
        <v>1010</v>
      </c>
      <c r="B26" t="s">
        <v>8</v>
      </c>
      <c r="C26" t="s">
        <v>13</v>
      </c>
      <c r="D26" t="s">
        <v>15</v>
      </c>
      <c r="E26" s="1">
        <v>44689</v>
      </c>
      <c r="F26" s="2">
        <v>215</v>
      </c>
      <c r="G26" s="3">
        <v>11</v>
      </c>
      <c r="H26" s="2">
        <f>tblProject[[#This Row],[Hours]]*tblProject[[#This Row],[BillRate]]</f>
        <v>2365</v>
      </c>
    </row>
    <row r="27" spans="1:8" x14ac:dyDescent="0.2">
      <c r="A27">
        <v>1010</v>
      </c>
      <c r="B27" t="s">
        <v>8</v>
      </c>
      <c r="C27" t="s">
        <v>13</v>
      </c>
      <c r="D27" t="s">
        <v>15</v>
      </c>
      <c r="E27" s="1">
        <v>44690</v>
      </c>
      <c r="F27" s="2">
        <v>215</v>
      </c>
      <c r="G27" s="3">
        <v>3</v>
      </c>
      <c r="H27" s="2">
        <f>tblProject[[#This Row],[Hours]]*tblProject[[#This Row],[BillRate]]</f>
        <v>645</v>
      </c>
    </row>
    <row r="28" spans="1:8" x14ac:dyDescent="0.2">
      <c r="A28">
        <v>1015</v>
      </c>
      <c r="B28" t="s">
        <v>8</v>
      </c>
      <c r="C28" t="s">
        <v>12</v>
      </c>
      <c r="D28" t="s">
        <v>14</v>
      </c>
      <c r="E28" s="1">
        <v>44713</v>
      </c>
      <c r="F28" s="2">
        <v>185</v>
      </c>
      <c r="G28" s="3">
        <v>11</v>
      </c>
      <c r="H28" s="2">
        <f>tblProject[[#This Row],[Hours]]*tblProject[[#This Row],[BillRate]]</f>
        <v>2035</v>
      </c>
    </row>
    <row r="29" spans="1:8" x14ac:dyDescent="0.2">
      <c r="A29">
        <v>1015</v>
      </c>
      <c r="B29" t="s">
        <v>8</v>
      </c>
      <c r="C29" t="s">
        <v>12</v>
      </c>
      <c r="D29" t="s">
        <v>14</v>
      </c>
      <c r="E29" s="1">
        <v>44714</v>
      </c>
      <c r="F29" s="2">
        <v>185</v>
      </c>
      <c r="G29" s="3">
        <v>4</v>
      </c>
      <c r="H29" s="2">
        <f>tblProject[[#This Row],[Hours]]*tblProject[[#This Row],[BillRate]]</f>
        <v>740</v>
      </c>
    </row>
    <row r="30" spans="1:8" x14ac:dyDescent="0.2">
      <c r="A30">
        <v>1015</v>
      </c>
      <c r="B30" t="s">
        <v>8</v>
      </c>
      <c r="C30" t="s">
        <v>13</v>
      </c>
      <c r="D30" t="s">
        <v>15</v>
      </c>
      <c r="E30" s="1">
        <v>44715</v>
      </c>
      <c r="F30" s="2">
        <v>215</v>
      </c>
      <c r="G30" s="3">
        <v>6</v>
      </c>
      <c r="H30" s="2">
        <f>tblProject[[#This Row],[Hours]]*tblProject[[#This Row],[BillRate]]</f>
        <v>1290</v>
      </c>
    </row>
    <row r="31" spans="1:8" x14ac:dyDescent="0.2">
      <c r="A31">
        <v>1015</v>
      </c>
      <c r="B31" t="s">
        <v>8</v>
      </c>
      <c r="C31" t="s">
        <v>13</v>
      </c>
      <c r="D31" t="s">
        <v>15</v>
      </c>
      <c r="E31" s="1">
        <v>44716</v>
      </c>
      <c r="F31" s="2">
        <v>215</v>
      </c>
      <c r="G31" s="3">
        <v>7</v>
      </c>
      <c r="H31" s="2">
        <f>tblProject[[#This Row],[Hours]]*tblProject[[#This Row],[BillRate]]</f>
        <v>1505</v>
      </c>
    </row>
    <row r="32" spans="1:8" x14ac:dyDescent="0.2">
      <c r="A32">
        <v>1015</v>
      </c>
      <c r="B32" t="s">
        <v>8</v>
      </c>
      <c r="C32" t="s">
        <v>13</v>
      </c>
      <c r="D32" t="s">
        <v>15</v>
      </c>
      <c r="E32" s="1">
        <v>44743</v>
      </c>
      <c r="F32" s="2">
        <v>215</v>
      </c>
      <c r="G32" s="3">
        <v>5.5</v>
      </c>
      <c r="H32" s="2">
        <f>tblProject[[#This Row],[Hours]]*tblProject[[#This Row],[BillRate]]</f>
        <v>1182.5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BuildDemoPivot">
                <anchor moveWithCells="1" sizeWithCells="1">
                  <from>
                    <xdr:col>5</xdr:col>
                    <xdr:colOff>596900</xdr:colOff>
                    <xdr:row>4</xdr:row>
                    <xdr:rowOff>165100</xdr:rowOff>
                  </from>
                  <to>
                    <xdr:col>7</xdr:col>
                    <xdr:colOff>469900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292F0-5022-A04C-80DB-CF6714936C9A}">
  <sheetPr codeName="wsPivot">
    <tabColor theme="7" tint="0.39997558519241921"/>
  </sheetPr>
  <dimension ref="A1"/>
  <sheetViews>
    <sheetView showGridLines="0" workbookViewId="0">
      <selection activeCell="L14" sqref="L14"/>
    </sheetView>
  </sheetViews>
  <sheetFormatPr baseColWidth="10" defaultRowHeight="16" x14ac:dyDescent="0.2"/>
  <cols>
    <col min="1" max="1" width="11.83203125" bestFit="1" customWidth="1"/>
    <col min="2" max="2" width="9.33203125" bestFit="1" customWidth="1"/>
    <col min="4" max="4" width="8.33203125" bestFit="1" customWidth="1"/>
    <col min="5" max="5" width="8.6640625" bestFit="1" customWidth="1"/>
    <col min="6" max="6" width="10.16406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PivotDemo</vt:lpstr>
      <vt:lpstr>TempPivot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Brower, Paul</dc:creator>
  <cp:lastModifiedBy>Brower, Paul</cp:lastModifiedBy>
  <dcterms:created xsi:type="dcterms:W3CDTF">2022-05-28T01:16:28Z</dcterms:created>
  <dcterms:modified xsi:type="dcterms:W3CDTF">2022-05-28T01:59:15Z</dcterms:modified>
</cp:coreProperties>
</file>